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riteria_Weights" sheetId="2" state="visible" r:id="rId4"/>
    <sheet name="Decision_Matrix" sheetId="3" state="visible" r:id="rId5"/>
    <sheet name="Ranking" sheetId="4" state="visible" r:id="rId6"/>
    <sheet name="Sensitivity_Analys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<sst xmlns="http://schemas.openxmlformats.org/spreadsheetml/2006/main" count="230" uniqueCount="90">
  <si>
    <t xml:space="preserve">Lab-2: SDLC Model Selection — Team T6 (Micro-lending / SHG Credit Management System)</t>
  </si>
  <si>
    <t xml:space="preserve">Contents</t>
  </si>
  <si>
    <t xml:space="preserve">1. System Profile &amp; Criteria Weights</t>
  </si>
  <si>
    <t xml:space="preserve">2. Decision Matrix (M4) — 11 criteria x 7 SDLC models, weighted scoring</t>
  </si>
  <si>
    <t xml:space="preserve">3. Ranking (M5) — computed ranking with normalized percentage fit</t>
  </si>
  <si>
    <t xml:space="preserve">4. Sensitivity Analysis (M6) — three +-5 point weight-shift scenarios</t>
  </si>
  <si>
    <t xml:space="preserve">Convention: blue text = hard-coded expert-judgment input (weights, 1-5 scores). Black text = formula. Green fill = current winner.</t>
  </si>
  <si>
    <t xml:space="preserve">M2/M3 — Decision Criteria and Weights (Team T6: Micro-lending / SHG Credit Management System)</t>
  </si>
  <si>
    <t xml:space="preserve">Code</t>
  </si>
  <si>
    <t xml:space="preserve">Criterion</t>
  </si>
  <si>
    <t xml:space="preserve">Weight (%)</t>
  </si>
  <si>
    <t xml:space="preserve">Justification</t>
  </si>
  <si>
    <t xml:space="preserve">C1</t>
  </si>
  <si>
    <t xml:space="preserve">Requirements volatility</t>
  </si>
  <si>
    <t xml:space="preserve">Core SHG lending workflow is well established, but interest/subsidy rules and RBI/NABARD formats change periodically -&gt; moderate, not top, weight.</t>
  </si>
  <si>
    <t xml:space="preserve">C2</t>
  </si>
  <si>
    <t xml:space="preserve">Project size</t>
  </si>
  <si>
    <t xml:space="preserve">Medium-large system: onboarding/KYC, appraisal, disbursement, ledger, NPA tracking, MIS reporting, notifications.</t>
  </si>
  <si>
    <t xml:space="preserve">C3</t>
  </si>
  <si>
    <t xml:space="preserve">Team distribution</t>
  </si>
  <si>
    <t xml:space="preserve">Small, largely co-located implementing team with occasional remote field-office coordination -&gt; low weight.</t>
  </si>
  <si>
    <t xml:space="preserve">C4</t>
  </si>
  <si>
    <t xml:space="preserve">Risk exposure</t>
  </si>
  <si>
    <t xml:space="preserve">Errors in interest/principal computation or authorization bypass cause direct financial loss to vulnerable borrowers.</t>
  </si>
  <si>
    <t xml:space="preserve">C5</t>
  </si>
  <si>
    <t xml:space="preserve">Regulatory burden</t>
  </si>
  <si>
    <t xml:space="preserve">Must comply with RBI NBFC-MFI Master Directions, interest-rate/pricing disclosure norms, KYC/AML (PMLA), NABARD reporting.</t>
  </si>
  <si>
    <t xml:space="preserve">C6</t>
  </si>
  <si>
    <t xml:space="preserve">Customer availability</t>
  </si>
  <si>
    <t xml:space="preserve">Branch/loan officers and SHG federation staff available periodically (not continuously); rural connectivity limits engagement.</t>
  </si>
  <si>
    <t xml:space="preserve">C7</t>
  </si>
  <si>
    <t xml:space="preserve">Contract type</t>
  </si>
  <si>
    <t xml:space="preserve">Assumed fixed-scope, institution-funded internal project tied to a financial-year cycle, not a flexible T&amp;M contract.</t>
  </si>
  <si>
    <t xml:space="preserve">C8</t>
  </si>
  <si>
    <t xml:space="preserve">Delivery urgency</t>
  </si>
  <si>
    <t xml:space="preserve">Go-live tied to a lending-cycle/financial-year milestone; important but not an emergency deployment.</t>
  </si>
  <si>
    <t xml:space="preserve">C9</t>
  </si>
  <si>
    <t xml:space="preserve">Defect tolerance</t>
  </si>
  <si>
    <t xml:space="preserve">Ledger/interest errors are financially and legally unacceptable; system must be auditable to the rupee.</t>
  </si>
  <si>
    <t xml:space="preserve">C10</t>
  </si>
  <si>
    <t xml:space="preserve">Security &amp; fraud-resistance (added)</t>
  </si>
  <si>
    <t xml:space="preserve">Added: financial system moving money and PII needs explicit evaluation of built-in security/fraud-resistance, distinct from generic risk.</t>
  </si>
  <si>
    <t xml:space="preserve">C11</t>
  </si>
  <si>
    <t xml:space="preserve">Auditability &amp; regulatory traceability (added)</t>
  </si>
  <si>
    <t xml:space="preserve">Added: RBI/NABARD compliance demands requirement-to-test traceability that generic 'risk' or 'regulatory burden' rows do not fully capture.</t>
  </si>
  <si>
    <t xml:space="preserve">TOTAL</t>
  </si>
  <si>
    <t xml:space="preserve">M4 — Seven-Model Weighted Decision Matrix (1=Very poor fit ... 5=Excellent fit)</t>
  </si>
  <si>
    <t xml:space="preserve">Waterfall</t>
  </si>
  <si>
    <t xml:space="preserve">Incremental</t>
  </si>
  <si>
    <t xml:space="preserve">Prototyping</t>
  </si>
  <si>
    <t xml:space="preserve">Spiral</t>
  </si>
  <si>
    <t xml:space="preserve">V-Model</t>
  </si>
  <si>
    <t xml:space="preserve">Component-Based</t>
  </si>
  <si>
    <t xml:space="preserve">Scrum</t>
  </si>
  <si>
    <t xml:space="preserve">Scoring rationale (applies across the row)</t>
  </si>
  <si>
    <t xml:space="preserve">Rigid models (Waterfall, V-Model) score low on volatility-handling; Prototyping/Scrum score high; Incremental/Spiral moderate-high.</t>
  </si>
  <si>
    <t xml:space="preserve">Incremental, V-Model, Spiral, CBD suit medium-large structured systems well; Prototyping is weak at this scale; Scrum needs scaling effort.</t>
  </si>
  <si>
    <t xml:space="preserve">Documentation-heavy (Waterfall, V-Model) and component-based work travel well across sites; Scrum/Prototyping prefer tight co-location.</t>
  </si>
  <si>
    <t xml:space="preserve">Spiral is explicitly risk-driven (highest); V-Model's rigorous V&amp;V reduces defect-risk; Waterfall has no formal risk step.</t>
  </si>
  <si>
    <t xml:space="preserve">V-Model's requirement-to-test mapping best satisfies regulators; Waterfall's phase documents also help; Scrum/Prototyping are weakest.</t>
  </si>
  <si>
    <t xml:space="preserve">Waterfall/V-Model/CBD need customers mainly at defined milestones (fits periodic availability); Scrum's frequent ceremonies exceed it.</t>
  </si>
  <si>
    <t xml:space="preserve">Waterfall and V-Model fit fixed-scope funding naturally; Scrum and Prototyping assume flexible scope/cost.</t>
  </si>
  <si>
    <t xml:space="preserve">Incremental, CBD and Scrum release usable subsets early; Waterfall and V-Model are slower to first release.</t>
  </si>
  <si>
    <t xml:space="preserve">V-Model's per-phase verification gives the strongest near-zero-defect guarantee; Prototyping risks carrying prototype defects forward.</t>
  </si>
  <si>
    <t xml:space="preserve">Spiral's risk cycles and V-Model's systematic verification build in security best; Prototyping and Scrum treat it ad hoc by default.</t>
  </si>
  <si>
    <t xml:space="preserve">V-Model gives direct requirement-to-test traceability (best); Waterfall/Spiral document well; Scrum/Prototyping trace poorly by default.</t>
  </si>
  <si>
    <t xml:space="preserve">Weighted Total (out of 5)</t>
  </si>
  <si>
    <t xml:space="preserve">Normalized Fit (%)</t>
  </si>
  <si>
    <t xml:space="preserve">Rank</t>
  </si>
  <si>
    <t xml:space="preserve">M5 — Ranking and Recommendation</t>
  </si>
  <si>
    <t xml:space="preserve">SDLC Model</t>
  </si>
  <si>
    <t xml:space="preserve">Weighted Score (/5)</t>
  </si>
  <si>
    <t xml:space="preserve">Winner outperforms runner-up chiefly on the three highest-weight regulatory/quality criteria: C5 Regulatory burden (14%), C9 Defect tolerance (14%) and C11 Auditability &amp; traceability (8%), where V-Model scores the maximum 5/5 while the runner-up (Spiral) scores only 3/5 on each.</t>
  </si>
  <si>
    <t xml:space="preserve">M6 — Sensitivity Analysis (each scenario shifts one weight by +5 and another by -5; total stays 100)</t>
  </si>
  <si>
    <t xml:space="preserve">Scenario 1: Risk exposure (C4) +5, Security &amp; fraud-resistance (C10) -5</t>
  </si>
  <si>
    <t xml:space="preserve">Original Wt.</t>
  </si>
  <si>
    <t xml:space="preserve">New Wt.</t>
  </si>
  <si>
    <t xml:space="preserve">Total (must = 100)</t>
  </si>
  <si>
    <t xml:space="preserve">Recomputed weighted score per model:</t>
  </si>
  <si>
    <t xml:space="preserve">New winner:</t>
  </si>
  <si>
    <t xml:space="preserve">Scenario 2: Regulatory burden (C5) +5, Customer availability (C6) -5</t>
  </si>
  <si>
    <t xml:space="preserve">Scenario 3 (adverse test): Defect tolerance (C9) -5, Requirements volatility (C1) +5</t>
  </si>
  <si>
    <t xml:space="preserve">Summary</t>
  </si>
  <si>
    <t xml:space="preserve">Scenario</t>
  </si>
  <si>
    <t xml:space="preserve">Original Winner</t>
  </si>
  <si>
    <t xml:space="preserve">New Winner</t>
  </si>
  <si>
    <t xml:space="preserve">Changed?</t>
  </si>
  <si>
    <t xml:space="preserve">Scenario 1</t>
  </si>
  <si>
    <t xml:space="preserve">Scenario 2</t>
  </si>
  <si>
    <t xml:space="preserve">Scenario 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</si>
</sst>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"/>
    <numFmt numFmtId="167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10"/>
      <name val="Arial"/>
      <family val="0"/>
      <charset val="1"/>
    </font>
    <font>
      <sz val="9"/>
      <color rgb="FF99999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  <fill>
      <patternFill patternType="solid">
        <fgColor rgb="FFC6EF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0"/>
    <col collapsed="false" customWidth="true" hidden="false" outlineLevel="0" max="5" min="3" style="0" width="20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10" customFormat="false" ht="15" hidden="false" customHeight="false" outlineLevel="0" collapsed="false">
      <c r="B10" s="4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5" t="s">
        <v>7</v>
      </c>
      <c r="B1" s="5"/>
      <c r="C1" s="5"/>
      <c r="D1" s="5"/>
    </row>
    <row r="3" customFormat="false" ht="15" hidden="false" customHeight="false" outlineLevel="0" collapsed="false">
      <c r="A3" s="6" t="s">
        <v>8</v>
      </c>
      <c r="B3" s="6" t="s">
        <v>9</v>
      </c>
      <c r="C3" s="6" t="s">
        <v>10</v>
      </c>
      <c r="D3" s="6" t="s">
        <v>11</v>
      </c>
    </row>
    <row r="4" customFormat="false" ht="23.85" hidden="false" customHeight="false" outlineLevel="0" collapsed="false">
      <c r="A4" s="7" t="s">
        <v>12</v>
      </c>
      <c r="B4" s="7" t="s">
        <v>13</v>
      </c>
      <c r="C4" s="8" t="n">
        <v>8</v>
      </c>
      <c r="D4" s="7" t="s">
        <v>14</v>
      </c>
    </row>
    <row r="5" customFormat="false" ht="23.85" hidden="false" customHeight="false" outlineLevel="0" collapsed="false">
      <c r="A5" s="9" t="s">
        <v>15</v>
      </c>
      <c r="B5" s="9" t="s">
        <v>16</v>
      </c>
      <c r="C5" s="10" t="n">
        <v>8</v>
      </c>
      <c r="D5" s="9" t="s">
        <v>17</v>
      </c>
    </row>
    <row r="6" customFormat="false" ht="23.85" hidden="false" customHeight="false" outlineLevel="0" collapsed="false">
      <c r="A6" s="7" t="s">
        <v>18</v>
      </c>
      <c r="B6" s="7" t="s">
        <v>19</v>
      </c>
      <c r="C6" s="8" t="n">
        <v>4</v>
      </c>
      <c r="D6" s="7" t="s">
        <v>20</v>
      </c>
    </row>
    <row r="7" customFormat="false" ht="23.85" hidden="false" customHeight="false" outlineLevel="0" collapsed="false">
      <c r="A7" s="9" t="s">
        <v>21</v>
      </c>
      <c r="B7" s="9" t="s">
        <v>22</v>
      </c>
      <c r="C7" s="10" t="n">
        <v>14</v>
      </c>
      <c r="D7" s="9" t="s">
        <v>23</v>
      </c>
    </row>
    <row r="8" customFormat="false" ht="23.85" hidden="false" customHeight="false" outlineLevel="0" collapsed="false">
      <c r="A8" s="7" t="s">
        <v>24</v>
      </c>
      <c r="B8" s="7" t="s">
        <v>25</v>
      </c>
      <c r="C8" s="8" t="n">
        <v>14</v>
      </c>
      <c r="D8" s="7" t="s">
        <v>26</v>
      </c>
    </row>
    <row r="9" customFormat="false" ht="23.85" hidden="false" customHeight="false" outlineLevel="0" collapsed="false">
      <c r="A9" s="9" t="s">
        <v>27</v>
      </c>
      <c r="B9" s="9" t="s">
        <v>28</v>
      </c>
      <c r="C9" s="10" t="n">
        <v>6</v>
      </c>
      <c r="D9" s="9" t="s">
        <v>29</v>
      </c>
    </row>
    <row r="10" customFormat="false" ht="23.85" hidden="false" customHeight="false" outlineLevel="0" collapsed="false">
      <c r="A10" s="7" t="s">
        <v>30</v>
      </c>
      <c r="B10" s="7" t="s">
        <v>31</v>
      </c>
      <c r="C10" s="8" t="n">
        <v>4</v>
      </c>
      <c r="D10" s="7" t="s">
        <v>32</v>
      </c>
    </row>
    <row r="11" customFormat="false" ht="23.85" hidden="false" customHeight="false" outlineLevel="0" collapsed="false">
      <c r="A11" s="9" t="s">
        <v>33</v>
      </c>
      <c r="B11" s="9" t="s">
        <v>34</v>
      </c>
      <c r="C11" s="10" t="n">
        <v>8</v>
      </c>
      <c r="D11" s="9" t="s">
        <v>35</v>
      </c>
    </row>
    <row r="12" customFormat="false" ht="23.85" hidden="false" customHeight="false" outlineLevel="0" collapsed="false">
      <c r="A12" s="7" t="s">
        <v>36</v>
      </c>
      <c r="B12" s="7" t="s">
        <v>37</v>
      </c>
      <c r="C12" s="8" t="n">
        <v>14</v>
      </c>
      <c r="D12" s="7" t="s">
        <v>38</v>
      </c>
    </row>
    <row r="13" customFormat="false" ht="23.85" hidden="false" customHeight="false" outlineLevel="0" collapsed="false">
      <c r="A13" s="9" t="s">
        <v>39</v>
      </c>
      <c r="B13" s="9" t="s">
        <v>40</v>
      </c>
      <c r="C13" s="10" t="n">
        <v>12</v>
      </c>
      <c r="D13" s="9" t="s">
        <v>41</v>
      </c>
    </row>
    <row r="14" customFormat="false" ht="23.85" hidden="false" customHeight="false" outlineLevel="0" collapsed="false">
      <c r="A14" s="7" t="s">
        <v>42</v>
      </c>
      <c r="B14" s="7" t="s">
        <v>43</v>
      </c>
      <c r="C14" s="8" t="n">
        <v>8</v>
      </c>
      <c r="D14" s="7" t="s">
        <v>44</v>
      </c>
    </row>
    <row r="15" customFormat="false" ht="15" hidden="false" customHeight="false" outlineLevel="0" collapsed="false">
      <c r="A15" s="11"/>
      <c r="B15" s="12" t="s">
        <v>45</v>
      </c>
      <c r="C15" s="12" t="n">
        <f aca="false">SUM(C4:C14)</f>
        <v>100</v>
      </c>
      <c r="D15" s="11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10" min="4" style="0" width="14"/>
    <col collapsed="false" customWidth="true" hidden="false" outlineLevel="0" max="11" min="11" style="0" width="4"/>
    <col collapsed="false" customWidth="true" hidden="false" outlineLevel="0" max="12" min="12" style="0" width="60"/>
  </cols>
  <sheetData>
    <row r="1" customFormat="false" ht="15" hidden="false" customHeight="false" outlineLevel="0" collapsed="false">
      <c r="A1" s="5" t="s">
        <v>46</v>
      </c>
      <c r="B1" s="5"/>
      <c r="C1" s="5"/>
      <c r="D1" s="5"/>
      <c r="E1" s="5"/>
      <c r="F1" s="5"/>
      <c r="G1" s="5"/>
      <c r="H1" s="5"/>
      <c r="I1" s="5"/>
      <c r="J1" s="5"/>
      <c r="K1" s="5"/>
    </row>
    <row r="3" customFormat="false" ht="23.85" hidden="false" customHeight="false" outlineLevel="0" collapsed="false">
      <c r="A3" s="6" t="s">
        <v>8</v>
      </c>
      <c r="B3" s="6" t="s">
        <v>9</v>
      </c>
      <c r="C3" s="6" t="s">
        <v>10</v>
      </c>
      <c r="D3" s="6" t="s">
        <v>47</v>
      </c>
      <c r="E3" s="6" t="s">
        <v>48</v>
      </c>
      <c r="F3" s="6" t="s">
        <v>49</v>
      </c>
      <c r="G3" s="6" t="s">
        <v>50</v>
      </c>
      <c r="H3" s="6" t="s">
        <v>51</v>
      </c>
      <c r="I3" s="6" t="s">
        <v>52</v>
      </c>
      <c r="J3" s="6" t="s">
        <v>53</v>
      </c>
      <c r="L3" s="13" t="s">
        <v>54</v>
      </c>
    </row>
    <row r="4" customFormat="false" ht="22.35" hidden="false" customHeight="false" outlineLevel="0" collapsed="false">
      <c r="A4" s="14" t="s">
        <v>12</v>
      </c>
      <c r="B4" s="14" t="s">
        <v>13</v>
      </c>
      <c r="C4" s="15" t="n">
        <f aca="false">Criteria_Weights!C4</f>
        <v>8</v>
      </c>
      <c r="D4" s="16" t="n">
        <v>2</v>
      </c>
      <c r="E4" s="16" t="n">
        <v>4</v>
      </c>
      <c r="F4" s="16" t="n">
        <v>5</v>
      </c>
      <c r="G4" s="16" t="n">
        <v>4</v>
      </c>
      <c r="H4" s="16" t="n">
        <v>2</v>
      </c>
      <c r="I4" s="16" t="n">
        <v>3</v>
      </c>
      <c r="J4" s="16" t="n">
        <v>5</v>
      </c>
      <c r="L4" s="17" t="s">
        <v>55</v>
      </c>
    </row>
    <row r="5" customFormat="false" ht="22.35" hidden="false" customHeight="false" outlineLevel="0" collapsed="false">
      <c r="A5" s="18" t="s">
        <v>15</v>
      </c>
      <c r="B5" s="18" t="s">
        <v>16</v>
      </c>
      <c r="C5" s="19" t="n">
        <f aca="false">Criteria_Weights!C5</f>
        <v>8</v>
      </c>
      <c r="D5" s="20" t="n">
        <v>4</v>
      </c>
      <c r="E5" s="20" t="n">
        <v>5</v>
      </c>
      <c r="F5" s="20" t="n">
        <v>2</v>
      </c>
      <c r="G5" s="20" t="n">
        <v>4</v>
      </c>
      <c r="H5" s="20" t="n">
        <v>4</v>
      </c>
      <c r="I5" s="20" t="n">
        <v>4</v>
      </c>
      <c r="J5" s="20" t="n">
        <v>3</v>
      </c>
      <c r="L5" s="17" t="s">
        <v>56</v>
      </c>
    </row>
    <row r="6" customFormat="false" ht="22.35" hidden="false" customHeight="false" outlineLevel="0" collapsed="false">
      <c r="A6" s="14" t="s">
        <v>18</v>
      </c>
      <c r="B6" s="14" t="s">
        <v>19</v>
      </c>
      <c r="C6" s="15" t="n">
        <f aca="false">Criteria_Weights!C6</f>
        <v>4</v>
      </c>
      <c r="D6" s="16" t="n">
        <v>4</v>
      </c>
      <c r="E6" s="16" t="n">
        <v>4</v>
      </c>
      <c r="F6" s="16" t="n">
        <v>3</v>
      </c>
      <c r="G6" s="16" t="n">
        <v>3</v>
      </c>
      <c r="H6" s="16" t="n">
        <v>4</v>
      </c>
      <c r="I6" s="16" t="n">
        <v>5</v>
      </c>
      <c r="J6" s="16" t="n">
        <v>3</v>
      </c>
      <c r="L6" s="17" t="s">
        <v>57</v>
      </c>
    </row>
    <row r="7" customFormat="false" ht="22.35" hidden="false" customHeight="false" outlineLevel="0" collapsed="false">
      <c r="A7" s="18" t="s">
        <v>21</v>
      </c>
      <c r="B7" s="18" t="s">
        <v>22</v>
      </c>
      <c r="C7" s="19" t="n">
        <f aca="false">Criteria_Weights!C7</f>
        <v>14</v>
      </c>
      <c r="D7" s="20" t="n">
        <v>2</v>
      </c>
      <c r="E7" s="20" t="n">
        <v>3</v>
      </c>
      <c r="F7" s="20" t="n">
        <v>3</v>
      </c>
      <c r="G7" s="20" t="n">
        <v>5</v>
      </c>
      <c r="H7" s="20" t="n">
        <v>4</v>
      </c>
      <c r="I7" s="20" t="n">
        <v>3</v>
      </c>
      <c r="J7" s="20" t="n">
        <v>3</v>
      </c>
      <c r="L7" s="17" t="s">
        <v>58</v>
      </c>
    </row>
    <row r="8" customFormat="false" ht="22.35" hidden="false" customHeight="false" outlineLevel="0" collapsed="false">
      <c r="A8" s="14" t="s">
        <v>24</v>
      </c>
      <c r="B8" s="14" t="s">
        <v>25</v>
      </c>
      <c r="C8" s="15" t="n">
        <f aca="false">Criteria_Weights!C8</f>
        <v>14</v>
      </c>
      <c r="D8" s="16" t="n">
        <v>4</v>
      </c>
      <c r="E8" s="16" t="n">
        <v>3</v>
      </c>
      <c r="F8" s="16" t="n">
        <v>2</v>
      </c>
      <c r="G8" s="16" t="n">
        <v>3</v>
      </c>
      <c r="H8" s="16" t="n">
        <v>5</v>
      </c>
      <c r="I8" s="16" t="n">
        <v>3</v>
      </c>
      <c r="J8" s="16" t="n">
        <v>2</v>
      </c>
      <c r="L8" s="17" t="s">
        <v>59</v>
      </c>
    </row>
    <row r="9" customFormat="false" ht="22.35" hidden="false" customHeight="false" outlineLevel="0" collapsed="false">
      <c r="A9" s="18" t="s">
        <v>27</v>
      </c>
      <c r="B9" s="18" t="s">
        <v>28</v>
      </c>
      <c r="C9" s="19" t="n">
        <f aca="false">Criteria_Weights!C9</f>
        <v>6</v>
      </c>
      <c r="D9" s="20" t="n">
        <v>4</v>
      </c>
      <c r="E9" s="20" t="n">
        <v>3</v>
      </c>
      <c r="F9" s="20" t="n">
        <v>2</v>
      </c>
      <c r="G9" s="20" t="n">
        <v>4</v>
      </c>
      <c r="H9" s="20" t="n">
        <v>4</v>
      </c>
      <c r="I9" s="20" t="n">
        <v>4</v>
      </c>
      <c r="J9" s="20" t="n">
        <v>2</v>
      </c>
      <c r="L9" s="17" t="s">
        <v>60</v>
      </c>
    </row>
    <row r="10" customFormat="false" ht="22.35" hidden="false" customHeight="false" outlineLevel="0" collapsed="false">
      <c r="A10" s="14" t="s">
        <v>30</v>
      </c>
      <c r="B10" s="14" t="s">
        <v>31</v>
      </c>
      <c r="C10" s="15" t="n">
        <f aca="false">Criteria_Weights!C10</f>
        <v>4</v>
      </c>
      <c r="D10" s="16" t="n">
        <v>5</v>
      </c>
      <c r="E10" s="16" t="n">
        <v>4</v>
      </c>
      <c r="F10" s="16" t="n">
        <v>2</v>
      </c>
      <c r="G10" s="16" t="n">
        <v>3</v>
      </c>
      <c r="H10" s="16" t="n">
        <v>5</v>
      </c>
      <c r="I10" s="16" t="n">
        <v>4</v>
      </c>
      <c r="J10" s="16" t="n">
        <v>2</v>
      </c>
      <c r="L10" s="17" t="s">
        <v>61</v>
      </c>
    </row>
    <row r="11" customFormat="false" ht="22.35" hidden="false" customHeight="false" outlineLevel="0" collapsed="false">
      <c r="A11" s="18" t="s">
        <v>33</v>
      </c>
      <c r="B11" s="18" t="s">
        <v>34</v>
      </c>
      <c r="C11" s="19" t="n">
        <f aca="false">Criteria_Weights!C11</f>
        <v>8</v>
      </c>
      <c r="D11" s="20" t="n">
        <v>2</v>
      </c>
      <c r="E11" s="20" t="n">
        <v>4</v>
      </c>
      <c r="F11" s="20" t="n">
        <v>3</v>
      </c>
      <c r="G11" s="20" t="n">
        <v>3</v>
      </c>
      <c r="H11" s="20" t="n">
        <v>2</v>
      </c>
      <c r="I11" s="20" t="n">
        <v>4</v>
      </c>
      <c r="J11" s="20" t="n">
        <v>4</v>
      </c>
      <c r="L11" s="17" t="s">
        <v>62</v>
      </c>
    </row>
    <row r="12" customFormat="false" ht="22.35" hidden="false" customHeight="false" outlineLevel="0" collapsed="false">
      <c r="A12" s="14" t="s">
        <v>36</v>
      </c>
      <c r="B12" s="14" t="s">
        <v>37</v>
      </c>
      <c r="C12" s="15" t="n">
        <f aca="false">Criteria_Weights!C12</f>
        <v>14</v>
      </c>
      <c r="D12" s="16" t="n">
        <v>3</v>
      </c>
      <c r="E12" s="16" t="n">
        <v>4</v>
      </c>
      <c r="F12" s="16" t="n">
        <v>2</v>
      </c>
      <c r="G12" s="16" t="n">
        <v>3</v>
      </c>
      <c r="H12" s="16" t="n">
        <v>5</v>
      </c>
      <c r="I12" s="16" t="n">
        <v>3</v>
      </c>
      <c r="J12" s="16" t="n">
        <v>3</v>
      </c>
      <c r="L12" s="17" t="s">
        <v>63</v>
      </c>
    </row>
    <row r="13" customFormat="false" ht="22.35" hidden="false" customHeight="false" outlineLevel="0" collapsed="false">
      <c r="A13" s="18" t="s">
        <v>39</v>
      </c>
      <c r="B13" s="18" t="s">
        <v>40</v>
      </c>
      <c r="C13" s="19" t="n">
        <f aca="false">Criteria_Weights!C13</f>
        <v>12</v>
      </c>
      <c r="D13" s="20" t="n">
        <v>3</v>
      </c>
      <c r="E13" s="20" t="n">
        <v>3</v>
      </c>
      <c r="F13" s="20" t="n">
        <v>2</v>
      </c>
      <c r="G13" s="20" t="n">
        <v>4</v>
      </c>
      <c r="H13" s="20" t="n">
        <v>4</v>
      </c>
      <c r="I13" s="20" t="n">
        <v>3</v>
      </c>
      <c r="J13" s="20" t="n">
        <v>2</v>
      </c>
      <c r="L13" s="17" t="s">
        <v>64</v>
      </c>
    </row>
    <row r="14" customFormat="false" ht="22.35" hidden="false" customHeight="false" outlineLevel="0" collapsed="false">
      <c r="A14" s="14" t="s">
        <v>42</v>
      </c>
      <c r="B14" s="14" t="s">
        <v>43</v>
      </c>
      <c r="C14" s="15" t="n">
        <f aca="false">Criteria_Weights!C14</f>
        <v>8</v>
      </c>
      <c r="D14" s="16" t="n">
        <v>4</v>
      </c>
      <c r="E14" s="16" t="n">
        <v>3</v>
      </c>
      <c r="F14" s="16" t="n">
        <v>2</v>
      </c>
      <c r="G14" s="16" t="n">
        <v>3</v>
      </c>
      <c r="H14" s="16" t="n">
        <v>5</v>
      </c>
      <c r="I14" s="16" t="n">
        <v>3</v>
      </c>
      <c r="J14" s="16" t="n">
        <v>2</v>
      </c>
      <c r="L14" s="17" t="s">
        <v>65</v>
      </c>
    </row>
    <row r="15" customFormat="false" ht="15" hidden="false" customHeight="false" outlineLevel="0" collapsed="false">
      <c r="A15" s="11"/>
      <c r="B15" s="12" t="s">
        <v>66</v>
      </c>
      <c r="C15" s="11"/>
      <c r="D15" s="21" t="n">
        <f aca="false">SUMPRODUCT($C$4:$C$14/100,D4:D14)</f>
        <v>3.18</v>
      </c>
      <c r="E15" s="21" t="n">
        <f aca="false">SUMPRODUCT($C$4:$C$14/100,E4:E14)</f>
        <v>3.54</v>
      </c>
      <c r="F15" s="21" t="n">
        <f aca="false">SUMPRODUCT($C$4:$C$14/100,F4:F14)</f>
        <v>2.5</v>
      </c>
      <c r="G15" s="21" t="n">
        <f aca="false">SUMPRODUCT($C$4:$C$14/100,G4:G14)</f>
        <v>3.62</v>
      </c>
      <c r="H15" s="21" t="n">
        <f aca="false">SUMPRODUCT($C$4:$C$14/100,H4:H14)</f>
        <v>4.08</v>
      </c>
      <c r="I15" s="21" t="n">
        <f aca="false">SUMPRODUCT($C$4:$C$14/100,I4:I14)</f>
        <v>3.34</v>
      </c>
      <c r="J15" s="21" t="n">
        <f aca="false">SUMPRODUCT($C$4:$C$14/100,J4:J14)</f>
        <v>2.8</v>
      </c>
    </row>
    <row r="16" customFormat="false" ht="15" hidden="false" customHeight="false" outlineLevel="0" collapsed="false">
      <c r="A16" s="11"/>
      <c r="B16" s="12" t="s">
        <v>67</v>
      </c>
      <c r="C16" s="11"/>
      <c r="D16" s="22" t="n">
        <f aca="false">D15/5</f>
        <v>0.636</v>
      </c>
      <c r="E16" s="22" t="n">
        <f aca="false">E15/5</f>
        <v>0.708</v>
      </c>
      <c r="F16" s="22" t="n">
        <f aca="false">F15/5</f>
        <v>0.5</v>
      </c>
      <c r="G16" s="22" t="n">
        <f aca="false">G15/5</f>
        <v>0.724</v>
      </c>
      <c r="H16" s="22" t="n">
        <f aca="false">H15/5</f>
        <v>0.816</v>
      </c>
      <c r="I16" s="22" t="n">
        <f aca="false">I15/5</f>
        <v>0.668</v>
      </c>
      <c r="J16" s="22" t="n">
        <f aca="false">J15/5</f>
        <v>0.56</v>
      </c>
    </row>
    <row r="17" customFormat="false" ht="15" hidden="false" customHeight="false" outlineLevel="0" collapsed="false">
      <c r="A17" s="11"/>
      <c r="B17" s="12" t="s">
        <v>68</v>
      </c>
      <c r="C17" s="11"/>
      <c r="D17" s="23" t="n">
        <f aca="false">RANK(D15,D15:J15,0)</f>
        <v>5</v>
      </c>
      <c r="E17" s="23" t="n">
        <f aca="false">RANK(E15,D15:J15,0)</f>
        <v>3</v>
      </c>
      <c r="F17" s="23" t="n">
        <f aca="false">RANK(F15,D15:J15,0)</f>
        <v>7</v>
      </c>
      <c r="G17" s="23" t="n">
        <f aca="false">RANK(G15,D15:J15,0)</f>
        <v>2</v>
      </c>
      <c r="H17" s="23" t="n">
        <f aca="false">RANK(H15,D15:J15,0)</f>
        <v>1</v>
      </c>
      <c r="I17" s="23" t="n">
        <f aca="false">RANK(I15,D15:J15,0)</f>
        <v>4</v>
      </c>
      <c r="J17" s="23" t="n">
        <f aca="false">RANK(J15,D15:J15,0)</f>
        <v>6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5" t="s">
        <v>69</v>
      </c>
      <c r="B1" s="5"/>
      <c r="C1" s="5"/>
      <c r="D1" s="5"/>
    </row>
    <row r="3" customFormat="false" ht="15" hidden="false" customHeight="false" outlineLevel="0" collapsed="false">
      <c r="A3" s="6" t="s">
        <v>68</v>
      </c>
      <c r="B3" s="6" t="s">
        <v>70</v>
      </c>
      <c r="C3" s="6" t="s">
        <v>71</v>
      </c>
      <c r="D3" s="6" t="s">
        <v>67</v>
      </c>
    </row>
    <row r="4" customFormat="false" ht="15" hidden="false" customHeight="false" outlineLevel="0" collapsed="false">
      <c r="A4" s="24" t="n">
        <v>1</v>
      </c>
      <c r="B4" s="24" t="str">
        <f aca="false">INDEX($A$13:$A$19,MATCH(C4,$B$13:$B$19,0))</f>
        <v>V-Model</v>
      </c>
      <c r="C4" s="25" t="n">
        <f aca="false">LARGE($B$13:$B$19,1)</f>
        <v>4.08</v>
      </c>
      <c r="D4" s="26" t="n">
        <f aca="false">C4/5</f>
        <v>0.816</v>
      </c>
    </row>
    <row r="5" customFormat="false" ht="15" hidden="false" customHeight="false" outlineLevel="0" collapsed="false">
      <c r="A5" s="14" t="n">
        <v>2</v>
      </c>
      <c r="B5" s="15" t="str">
        <f aca="false">INDEX($A$13:$A$19,MATCH(C5,$B$13:$B$19,0))</f>
        <v>Spiral</v>
      </c>
      <c r="C5" s="27" t="n">
        <f aca="false">LARGE($B$13:$B$19,2)</f>
        <v>3.62</v>
      </c>
      <c r="D5" s="28" t="n">
        <f aca="false">C5/5</f>
        <v>0.724</v>
      </c>
    </row>
    <row r="6" customFormat="false" ht="15" hidden="false" customHeight="false" outlineLevel="0" collapsed="false">
      <c r="A6" s="14" t="n">
        <v>3</v>
      </c>
      <c r="B6" s="15" t="str">
        <f aca="false">INDEX($A$13:$A$19,MATCH(C6,$B$13:$B$19,0))</f>
        <v>Incremental</v>
      </c>
      <c r="C6" s="27" t="n">
        <f aca="false">LARGE($B$13:$B$19,3)</f>
        <v>3.54</v>
      </c>
      <c r="D6" s="28" t="n">
        <f aca="false">C6/5</f>
        <v>0.708</v>
      </c>
    </row>
    <row r="7" customFormat="false" ht="15" hidden="false" customHeight="false" outlineLevel="0" collapsed="false">
      <c r="A7" s="14" t="n">
        <v>4</v>
      </c>
      <c r="B7" s="15" t="str">
        <f aca="false">INDEX($A$13:$A$19,MATCH(C7,$B$13:$B$19,0))</f>
        <v>Component-Based</v>
      </c>
      <c r="C7" s="27" t="n">
        <f aca="false">LARGE($B$13:$B$19,4)</f>
        <v>3.34</v>
      </c>
      <c r="D7" s="28" t="n">
        <f aca="false">C7/5</f>
        <v>0.668</v>
      </c>
    </row>
    <row r="8" customFormat="false" ht="15" hidden="false" customHeight="false" outlineLevel="0" collapsed="false">
      <c r="A8" s="14" t="n">
        <v>5</v>
      </c>
      <c r="B8" s="15" t="str">
        <f aca="false">INDEX($A$13:$A$19,MATCH(C8,$B$13:$B$19,0))</f>
        <v>Waterfall</v>
      </c>
      <c r="C8" s="27" t="n">
        <f aca="false">LARGE($B$13:$B$19,5)</f>
        <v>3.18</v>
      </c>
      <c r="D8" s="28" t="n">
        <f aca="false">C8/5</f>
        <v>0.636</v>
      </c>
    </row>
    <row r="9" customFormat="false" ht="15" hidden="false" customHeight="false" outlineLevel="0" collapsed="false">
      <c r="A9" s="14" t="n">
        <v>6</v>
      </c>
      <c r="B9" s="15" t="str">
        <f aca="false">INDEX($A$13:$A$19,MATCH(C9,$B$13:$B$19,0))</f>
        <v>Scrum</v>
      </c>
      <c r="C9" s="27" t="n">
        <f aca="false">LARGE($B$13:$B$19,6)</f>
        <v>2.8</v>
      </c>
      <c r="D9" s="28" t="n">
        <f aca="false">C9/5</f>
        <v>0.56</v>
      </c>
    </row>
    <row r="10" customFormat="false" ht="15" hidden="false" customHeight="false" outlineLevel="0" collapsed="false">
      <c r="A10" s="14" t="n">
        <v>7</v>
      </c>
      <c r="B10" s="15" t="str">
        <f aca="false">INDEX($A$13:$A$19,MATCH(C10,$B$13:$B$19,0))</f>
        <v>Prototyping</v>
      </c>
      <c r="C10" s="27" t="n">
        <f aca="false">LARGE($B$13:$B$19,7)</f>
        <v>2.5</v>
      </c>
      <c r="D10" s="28" t="n">
        <f aca="false">C10/5</f>
        <v>0.5</v>
      </c>
    </row>
    <row r="12" customFormat="false" ht="45" hidden="false" customHeight="true" outlineLevel="0" collapsed="false">
      <c r="A12" s="29" t="s">
        <v>72</v>
      </c>
      <c r="B12" s="29"/>
      <c r="C12" s="29"/>
      <c r="D12" s="29"/>
    </row>
    <row r="13" customFormat="false" ht="15" hidden="false" customHeight="false" outlineLevel="0" collapsed="false">
      <c r="A13" s="30" t="s">
        <v>47</v>
      </c>
      <c r="B13" s="31" t="n">
        <f aca="false">Decision_Matrix!D15</f>
        <v>3.18</v>
      </c>
    </row>
    <row r="14" customFormat="false" ht="15" hidden="false" customHeight="false" outlineLevel="0" collapsed="false">
      <c r="A14" s="30" t="s">
        <v>48</v>
      </c>
      <c r="B14" s="31" t="n">
        <f aca="false">Decision_Matrix!E15</f>
        <v>3.54</v>
      </c>
    </row>
    <row r="15" customFormat="false" ht="15" hidden="false" customHeight="false" outlineLevel="0" collapsed="false">
      <c r="A15" s="30" t="s">
        <v>49</v>
      </c>
      <c r="B15" s="31" t="n">
        <f aca="false">Decision_Matrix!F15</f>
        <v>2.5</v>
      </c>
    </row>
    <row r="16" customFormat="false" ht="15" hidden="false" customHeight="false" outlineLevel="0" collapsed="false">
      <c r="A16" s="30" t="s">
        <v>50</v>
      </c>
      <c r="B16" s="31" t="n">
        <f aca="false">Decision_Matrix!G15</f>
        <v>3.62</v>
      </c>
    </row>
    <row r="17" customFormat="false" ht="15" hidden="false" customHeight="false" outlineLevel="0" collapsed="false">
      <c r="A17" s="30" t="s">
        <v>51</v>
      </c>
      <c r="B17" s="31" t="n">
        <f aca="false">Decision_Matrix!H15</f>
        <v>4.08</v>
      </c>
    </row>
    <row r="18" customFormat="false" ht="15" hidden="false" customHeight="false" outlineLevel="0" collapsed="false">
      <c r="A18" s="30" t="s">
        <v>52</v>
      </c>
      <c r="B18" s="31" t="n">
        <f aca="false">Decision_Matrix!I15</f>
        <v>3.34</v>
      </c>
    </row>
    <row r="19" customFormat="false" ht="15" hidden="false" customHeight="false" outlineLevel="0" collapsed="false">
      <c r="A19" s="30" t="s">
        <v>53</v>
      </c>
      <c r="B19" s="31" t="n">
        <f aca="false">Decision_Matrix!J15</f>
        <v>2.8</v>
      </c>
    </row>
  </sheetData>
  <mergeCells count="2">
    <mergeCell ref="A1:D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5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5" t="s">
        <v>73</v>
      </c>
      <c r="B1" s="5"/>
      <c r="C1" s="5"/>
      <c r="D1" s="5"/>
      <c r="E1" s="5"/>
      <c r="F1" s="5"/>
    </row>
    <row r="3" customFormat="false" ht="15" hidden="false" customHeight="false" outlineLevel="0" collapsed="false">
      <c r="A3" s="32" t="s">
        <v>74</v>
      </c>
      <c r="B3" s="32"/>
      <c r="C3" s="32"/>
      <c r="D3" s="32"/>
      <c r="E3" s="32"/>
      <c r="F3" s="32"/>
    </row>
    <row r="4" customFormat="false" ht="15" hidden="false" customHeight="false" outlineLevel="0" collapsed="false">
      <c r="A4" s="33" t="s">
        <v>8</v>
      </c>
      <c r="B4" s="33" t="s">
        <v>9</v>
      </c>
      <c r="C4" s="33" t="s">
        <v>75</v>
      </c>
      <c r="D4" s="33" t="s">
        <v>76</v>
      </c>
    </row>
    <row r="5" customFormat="false" ht="15" hidden="false" customHeight="false" outlineLevel="0" collapsed="false">
      <c r="A5" s="14" t="s">
        <v>12</v>
      </c>
      <c r="B5" s="14" t="s">
        <v>13</v>
      </c>
      <c r="C5" s="15" t="n">
        <f aca="false">Criteria_Weights!C4</f>
        <v>8</v>
      </c>
      <c r="D5" s="15" t="n">
        <f aca="false">C5</f>
        <v>8</v>
      </c>
    </row>
    <row r="6" customFormat="false" ht="15" hidden="false" customHeight="false" outlineLevel="0" collapsed="false">
      <c r="A6" s="18" t="s">
        <v>15</v>
      </c>
      <c r="B6" s="18" t="s">
        <v>16</v>
      </c>
      <c r="C6" s="19" t="n">
        <f aca="false">Criteria_Weights!C5</f>
        <v>8</v>
      </c>
      <c r="D6" s="19" t="n">
        <f aca="false">C6</f>
        <v>8</v>
      </c>
    </row>
    <row r="7" customFormat="false" ht="15" hidden="false" customHeight="false" outlineLevel="0" collapsed="false">
      <c r="A7" s="14" t="s">
        <v>18</v>
      </c>
      <c r="B7" s="14" t="s">
        <v>19</v>
      </c>
      <c r="C7" s="15" t="n">
        <f aca="false">Criteria_Weights!C6</f>
        <v>4</v>
      </c>
      <c r="D7" s="15" t="n">
        <f aca="false">C7</f>
        <v>4</v>
      </c>
    </row>
    <row r="8" customFormat="false" ht="15" hidden="false" customHeight="false" outlineLevel="0" collapsed="false">
      <c r="A8" s="18" t="s">
        <v>21</v>
      </c>
      <c r="B8" s="18" t="s">
        <v>22</v>
      </c>
      <c r="C8" s="19" t="n">
        <f aca="false">Criteria_Weights!C7</f>
        <v>14</v>
      </c>
      <c r="D8" s="34" t="n">
        <f aca="false">C8+5</f>
        <v>19</v>
      </c>
    </row>
    <row r="9" customFormat="false" ht="15" hidden="false" customHeight="false" outlineLevel="0" collapsed="false">
      <c r="A9" s="14" t="s">
        <v>24</v>
      </c>
      <c r="B9" s="14" t="s">
        <v>25</v>
      </c>
      <c r="C9" s="15" t="n">
        <f aca="false">Criteria_Weights!C8</f>
        <v>14</v>
      </c>
      <c r="D9" s="15" t="n">
        <f aca="false">C9</f>
        <v>14</v>
      </c>
    </row>
    <row r="10" customFormat="false" ht="15" hidden="false" customHeight="false" outlineLevel="0" collapsed="false">
      <c r="A10" s="18" t="s">
        <v>27</v>
      </c>
      <c r="B10" s="18" t="s">
        <v>28</v>
      </c>
      <c r="C10" s="19" t="n">
        <f aca="false">Criteria_Weights!C9</f>
        <v>6</v>
      </c>
      <c r="D10" s="19" t="n">
        <f aca="false">C10</f>
        <v>6</v>
      </c>
    </row>
    <row r="11" customFormat="false" ht="15" hidden="false" customHeight="false" outlineLevel="0" collapsed="false">
      <c r="A11" s="14" t="s">
        <v>30</v>
      </c>
      <c r="B11" s="14" t="s">
        <v>31</v>
      </c>
      <c r="C11" s="15" t="n">
        <f aca="false">Criteria_Weights!C10</f>
        <v>4</v>
      </c>
      <c r="D11" s="15" t="n">
        <f aca="false">C11</f>
        <v>4</v>
      </c>
    </row>
    <row r="12" customFormat="false" ht="15" hidden="false" customHeight="false" outlineLevel="0" collapsed="false">
      <c r="A12" s="18" t="s">
        <v>33</v>
      </c>
      <c r="B12" s="18" t="s">
        <v>34</v>
      </c>
      <c r="C12" s="19" t="n">
        <f aca="false">Criteria_Weights!C11</f>
        <v>8</v>
      </c>
      <c r="D12" s="19" t="n">
        <f aca="false">C12</f>
        <v>8</v>
      </c>
    </row>
    <row r="13" customFormat="false" ht="15" hidden="false" customHeight="false" outlineLevel="0" collapsed="false">
      <c r="A13" s="14" t="s">
        <v>36</v>
      </c>
      <c r="B13" s="14" t="s">
        <v>37</v>
      </c>
      <c r="C13" s="15" t="n">
        <f aca="false">Criteria_Weights!C12</f>
        <v>14</v>
      </c>
      <c r="D13" s="15" t="n">
        <f aca="false">C13</f>
        <v>14</v>
      </c>
    </row>
    <row r="14" customFormat="false" ht="15" hidden="false" customHeight="false" outlineLevel="0" collapsed="false">
      <c r="A14" s="18" t="s">
        <v>39</v>
      </c>
      <c r="B14" s="18" t="s">
        <v>40</v>
      </c>
      <c r="C14" s="19" t="n">
        <f aca="false">Criteria_Weights!C13</f>
        <v>12</v>
      </c>
      <c r="D14" s="34" t="n">
        <f aca="false">C14-5</f>
        <v>7</v>
      </c>
    </row>
    <row r="15" customFormat="false" ht="15" hidden="false" customHeight="false" outlineLevel="0" collapsed="false">
      <c r="A15" s="14" t="s">
        <v>42</v>
      </c>
      <c r="B15" s="14" t="s">
        <v>43</v>
      </c>
      <c r="C15" s="15" t="n">
        <f aca="false">Criteria_Weights!C14</f>
        <v>8</v>
      </c>
      <c r="D15" s="15" t="n">
        <f aca="false">C15</f>
        <v>8</v>
      </c>
    </row>
    <row r="16" customFormat="false" ht="15" hidden="false" customHeight="false" outlineLevel="0" collapsed="false">
      <c r="A16" s="11"/>
      <c r="B16" s="12" t="s">
        <v>77</v>
      </c>
      <c r="C16" s="11"/>
      <c r="D16" s="35" t="n">
        <f aca="false">SUM(D5:D15)</f>
        <v>100</v>
      </c>
    </row>
    <row r="18" customFormat="false" ht="15" hidden="false" customHeight="false" outlineLevel="0" collapsed="false">
      <c r="A18" s="2" t="s">
        <v>78</v>
      </c>
    </row>
    <row r="19" customFormat="false" ht="23.85" hidden="false" customHeight="false" outlineLevel="0" collapsed="false">
      <c r="A19" s="33" t="s">
        <v>47</v>
      </c>
      <c r="B19" s="33" t="s">
        <v>48</v>
      </c>
      <c r="C19" s="33" t="s">
        <v>49</v>
      </c>
      <c r="D19" s="33" t="s">
        <v>50</v>
      </c>
      <c r="E19" s="33" t="s">
        <v>51</v>
      </c>
      <c r="F19" s="33" t="s">
        <v>52</v>
      </c>
      <c r="G19" s="33" t="s">
        <v>53</v>
      </c>
    </row>
    <row r="20" customFormat="false" ht="15" hidden="false" customHeight="false" outlineLevel="0" collapsed="false">
      <c r="A20" s="36" t="n">
        <f aca="false">SUMPRODUCT($D$5:$D$15/100,Decision_Matrix!D4:D14)</f>
        <v>3.13</v>
      </c>
      <c r="B20" s="36" t="n">
        <f aca="false">SUMPRODUCT($D$5:$D$15/100,Decision_Matrix!E4:E14)</f>
        <v>3.54</v>
      </c>
      <c r="C20" s="36" t="n">
        <f aca="false">SUMPRODUCT($D$5:$D$15/100,Decision_Matrix!F4:F14)</f>
        <v>2.55</v>
      </c>
      <c r="D20" s="36" t="n">
        <f aca="false">SUMPRODUCT($D$5:$D$15/100,Decision_Matrix!G4:G14)</f>
        <v>3.67</v>
      </c>
      <c r="E20" s="36" t="n">
        <f aca="false">SUMPRODUCT($D$5:$D$15/100,Decision_Matrix!H4:H14)</f>
        <v>4.08</v>
      </c>
      <c r="F20" s="36" t="n">
        <f aca="false">SUMPRODUCT($D$5:$D$15/100,Decision_Matrix!I4:I14)</f>
        <v>3.34</v>
      </c>
      <c r="G20" s="36" t="n">
        <f aca="false">SUMPRODUCT($D$5:$D$15/100,Decision_Matrix!J4:J14)</f>
        <v>2.85</v>
      </c>
    </row>
    <row r="21" customFormat="false" ht="15" hidden="false" customHeight="false" outlineLevel="0" collapsed="false">
      <c r="A21" s="2" t="s">
        <v>79</v>
      </c>
      <c r="B21" s="37" t="str">
        <f aca="false">INDEX(A19:G19,MATCH(MAX(A20:G20),A20:G20,0))</f>
        <v>V-Model</v>
      </c>
    </row>
    <row r="23" customFormat="false" ht="15" hidden="false" customHeight="false" outlineLevel="0" collapsed="false">
      <c r="A23" s="32" t="s">
        <v>80</v>
      </c>
      <c r="B23" s="32"/>
      <c r="C23" s="32"/>
      <c r="D23" s="32"/>
      <c r="E23" s="32"/>
      <c r="F23" s="32"/>
    </row>
    <row r="24" customFormat="false" ht="15" hidden="false" customHeight="false" outlineLevel="0" collapsed="false">
      <c r="A24" s="33" t="s">
        <v>8</v>
      </c>
      <c r="B24" s="33" t="s">
        <v>9</v>
      </c>
      <c r="C24" s="33" t="s">
        <v>75</v>
      </c>
      <c r="D24" s="33" t="s">
        <v>76</v>
      </c>
    </row>
    <row r="25" customFormat="false" ht="15" hidden="false" customHeight="false" outlineLevel="0" collapsed="false">
      <c r="A25" s="14" t="s">
        <v>12</v>
      </c>
      <c r="B25" s="14" t="s">
        <v>13</v>
      </c>
      <c r="C25" s="15" t="n">
        <f aca="false">Criteria_Weights!C4</f>
        <v>8</v>
      </c>
      <c r="D25" s="15" t="n">
        <f aca="false">C25</f>
        <v>8</v>
      </c>
    </row>
    <row r="26" customFormat="false" ht="15" hidden="false" customHeight="false" outlineLevel="0" collapsed="false">
      <c r="A26" s="18" t="s">
        <v>15</v>
      </c>
      <c r="B26" s="18" t="s">
        <v>16</v>
      </c>
      <c r="C26" s="19" t="n">
        <f aca="false">Criteria_Weights!C5</f>
        <v>8</v>
      </c>
      <c r="D26" s="19" t="n">
        <f aca="false">C26</f>
        <v>8</v>
      </c>
    </row>
    <row r="27" customFormat="false" ht="15" hidden="false" customHeight="false" outlineLevel="0" collapsed="false">
      <c r="A27" s="14" t="s">
        <v>18</v>
      </c>
      <c r="B27" s="14" t="s">
        <v>19</v>
      </c>
      <c r="C27" s="15" t="n">
        <f aca="false">Criteria_Weights!C6</f>
        <v>4</v>
      </c>
      <c r="D27" s="15" t="n">
        <f aca="false">C27</f>
        <v>4</v>
      </c>
    </row>
    <row r="28" customFormat="false" ht="15" hidden="false" customHeight="false" outlineLevel="0" collapsed="false">
      <c r="A28" s="18" t="s">
        <v>21</v>
      </c>
      <c r="B28" s="18" t="s">
        <v>22</v>
      </c>
      <c r="C28" s="19" t="n">
        <f aca="false">Criteria_Weights!C7</f>
        <v>14</v>
      </c>
      <c r="D28" s="19" t="n">
        <f aca="false">C28</f>
        <v>14</v>
      </c>
    </row>
    <row r="29" customFormat="false" ht="15" hidden="false" customHeight="false" outlineLevel="0" collapsed="false">
      <c r="A29" s="14" t="s">
        <v>24</v>
      </c>
      <c r="B29" s="14" t="s">
        <v>25</v>
      </c>
      <c r="C29" s="15" t="n">
        <f aca="false">Criteria_Weights!C8</f>
        <v>14</v>
      </c>
      <c r="D29" s="38" t="n">
        <f aca="false">C29+5</f>
        <v>19</v>
      </c>
    </row>
    <row r="30" customFormat="false" ht="15" hidden="false" customHeight="false" outlineLevel="0" collapsed="false">
      <c r="A30" s="18" t="s">
        <v>27</v>
      </c>
      <c r="B30" s="18" t="s">
        <v>28</v>
      </c>
      <c r="C30" s="19" t="n">
        <f aca="false">Criteria_Weights!C9</f>
        <v>6</v>
      </c>
      <c r="D30" s="34" t="n">
        <f aca="false">C30-5</f>
        <v>1</v>
      </c>
    </row>
    <row r="31" customFormat="false" ht="15" hidden="false" customHeight="false" outlineLevel="0" collapsed="false">
      <c r="A31" s="14" t="s">
        <v>30</v>
      </c>
      <c r="B31" s="14" t="s">
        <v>31</v>
      </c>
      <c r="C31" s="15" t="n">
        <f aca="false">Criteria_Weights!C10</f>
        <v>4</v>
      </c>
      <c r="D31" s="15" t="n">
        <f aca="false">C31</f>
        <v>4</v>
      </c>
    </row>
    <row r="32" customFormat="false" ht="15" hidden="false" customHeight="false" outlineLevel="0" collapsed="false">
      <c r="A32" s="18" t="s">
        <v>33</v>
      </c>
      <c r="B32" s="18" t="s">
        <v>34</v>
      </c>
      <c r="C32" s="19" t="n">
        <f aca="false">Criteria_Weights!C11</f>
        <v>8</v>
      </c>
      <c r="D32" s="19" t="n">
        <f aca="false">C32</f>
        <v>8</v>
      </c>
    </row>
    <row r="33" customFormat="false" ht="15" hidden="false" customHeight="false" outlineLevel="0" collapsed="false">
      <c r="A33" s="14" t="s">
        <v>36</v>
      </c>
      <c r="B33" s="14" t="s">
        <v>37</v>
      </c>
      <c r="C33" s="15" t="n">
        <f aca="false">Criteria_Weights!C12</f>
        <v>14</v>
      </c>
      <c r="D33" s="15" t="n">
        <f aca="false">C33</f>
        <v>14</v>
      </c>
    </row>
    <row r="34" customFormat="false" ht="15" hidden="false" customHeight="false" outlineLevel="0" collapsed="false">
      <c r="A34" s="18" t="s">
        <v>39</v>
      </c>
      <c r="B34" s="18" t="s">
        <v>40</v>
      </c>
      <c r="C34" s="19" t="n">
        <f aca="false">Criteria_Weights!C13</f>
        <v>12</v>
      </c>
      <c r="D34" s="19" t="n">
        <f aca="false">C34</f>
        <v>12</v>
      </c>
    </row>
    <row r="35" customFormat="false" ht="15" hidden="false" customHeight="false" outlineLevel="0" collapsed="false">
      <c r="A35" s="14" t="s">
        <v>42</v>
      </c>
      <c r="B35" s="14" t="s">
        <v>43</v>
      </c>
      <c r="C35" s="15" t="n">
        <f aca="false">Criteria_Weights!C14</f>
        <v>8</v>
      </c>
      <c r="D35" s="15" t="n">
        <f aca="false">C35</f>
        <v>8</v>
      </c>
    </row>
    <row r="36" customFormat="false" ht="15" hidden="false" customHeight="false" outlineLevel="0" collapsed="false">
      <c r="A36" s="11"/>
      <c r="B36" s="12" t="s">
        <v>77</v>
      </c>
      <c r="C36" s="11"/>
      <c r="D36" s="35" t="n">
        <f aca="false">SUM(D25:D35)</f>
        <v>100</v>
      </c>
    </row>
    <row r="38" customFormat="false" ht="15" hidden="false" customHeight="false" outlineLevel="0" collapsed="false">
      <c r="A38" s="2" t="s">
        <v>78</v>
      </c>
    </row>
    <row r="39" customFormat="false" ht="23.85" hidden="false" customHeight="false" outlineLevel="0" collapsed="false">
      <c r="A39" s="33" t="s">
        <v>47</v>
      </c>
      <c r="B39" s="33" t="s">
        <v>48</v>
      </c>
      <c r="C39" s="33" t="s">
        <v>49</v>
      </c>
      <c r="D39" s="33" t="s">
        <v>50</v>
      </c>
      <c r="E39" s="33" t="s">
        <v>51</v>
      </c>
      <c r="F39" s="33" t="s">
        <v>52</v>
      </c>
      <c r="G39" s="33" t="s">
        <v>53</v>
      </c>
    </row>
    <row r="40" customFormat="false" ht="15" hidden="false" customHeight="false" outlineLevel="0" collapsed="false">
      <c r="A40" s="36" t="n">
        <f aca="false">SUMPRODUCT($D$25:$D$35/100,Decision_Matrix!D4:D14)</f>
        <v>3.18</v>
      </c>
      <c r="B40" s="36" t="n">
        <f aca="false">SUMPRODUCT($D$25:$D$35/100,Decision_Matrix!E4:E14)</f>
        <v>3.54</v>
      </c>
      <c r="C40" s="36" t="n">
        <f aca="false">SUMPRODUCT($D$25:$D$35/100,Decision_Matrix!F4:F14)</f>
        <v>2.5</v>
      </c>
      <c r="D40" s="36" t="n">
        <f aca="false">SUMPRODUCT($D$25:$D$35/100,Decision_Matrix!G4:G14)</f>
        <v>3.57</v>
      </c>
      <c r="E40" s="36" t="n">
        <f aca="false">SUMPRODUCT($D$25:$D$35/100,Decision_Matrix!H4:H14)</f>
        <v>4.13</v>
      </c>
      <c r="F40" s="36" t="n">
        <f aca="false">SUMPRODUCT($D$25:$D$35/100,Decision_Matrix!I4:I14)</f>
        <v>3.29</v>
      </c>
      <c r="G40" s="36" t="n">
        <f aca="false">SUMPRODUCT($D$25:$D$35/100,Decision_Matrix!J4:J14)</f>
        <v>2.8</v>
      </c>
    </row>
    <row r="41" customFormat="false" ht="15" hidden="false" customHeight="false" outlineLevel="0" collapsed="false">
      <c r="A41" s="2" t="s">
        <v>79</v>
      </c>
      <c r="B41" s="37" t="str">
        <f aca="false">INDEX(A39:G39,MATCH(MAX(A40:G40),A40:G40,0))</f>
        <v>V-Model</v>
      </c>
    </row>
    <row r="43" customFormat="false" ht="15" hidden="false" customHeight="false" outlineLevel="0" collapsed="false">
      <c r="A43" s="32" t="s">
        <v>81</v>
      </c>
      <c r="B43" s="32"/>
      <c r="C43" s="32"/>
      <c r="D43" s="32"/>
      <c r="E43" s="32"/>
      <c r="F43" s="32"/>
    </row>
    <row r="44" customFormat="false" ht="15" hidden="false" customHeight="false" outlineLevel="0" collapsed="false">
      <c r="A44" s="33" t="s">
        <v>8</v>
      </c>
      <c r="B44" s="33" t="s">
        <v>9</v>
      </c>
      <c r="C44" s="33" t="s">
        <v>75</v>
      </c>
      <c r="D44" s="33" t="s">
        <v>76</v>
      </c>
    </row>
    <row r="45" customFormat="false" ht="15" hidden="false" customHeight="false" outlineLevel="0" collapsed="false">
      <c r="A45" s="14" t="s">
        <v>12</v>
      </c>
      <c r="B45" s="14" t="s">
        <v>13</v>
      </c>
      <c r="C45" s="15" t="n">
        <f aca="false">Criteria_Weights!C4</f>
        <v>8</v>
      </c>
      <c r="D45" s="38" t="n">
        <f aca="false">C45+5</f>
        <v>13</v>
      </c>
    </row>
    <row r="46" customFormat="false" ht="15" hidden="false" customHeight="false" outlineLevel="0" collapsed="false">
      <c r="A46" s="18" t="s">
        <v>15</v>
      </c>
      <c r="B46" s="18" t="s">
        <v>16</v>
      </c>
      <c r="C46" s="19" t="n">
        <f aca="false">Criteria_Weights!C5</f>
        <v>8</v>
      </c>
      <c r="D46" s="19" t="n">
        <f aca="false">C46</f>
        <v>8</v>
      </c>
    </row>
    <row r="47" customFormat="false" ht="15" hidden="false" customHeight="false" outlineLevel="0" collapsed="false">
      <c r="A47" s="14" t="s">
        <v>18</v>
      </c>
      <c r="B47" s="14" t="s">
        <v>19</v>
      </c>
      <c r="C47" s="15" t="n">
        <f aca="false">Criteria_Weights!C6</f>
        <v>4</v>
      </c>
      <c r="D47" s="15" t="n">
        <f aca="false">C47</f>
        <v>4</v>
      </c>
    </row>
    <row r="48" customFormat="false" ht="15" hidden="false" customHeight="false" outlineLevel="0" collapsed="false">
      <c r="A48" s="18" t="s">
        <v>21</v>
      </c>
      <c r="B48" s="18" t="s">
        <v>22</v>
      </c>
      <c r="C48" s="19" t="n">
        <f aca="false">Criteria_Weights!C7</f>
        <v>14</v>
      </c>
      <c r="D48" s="19" t="n">
        <f aca="false">C48</f>
        <v>14</v>
      </c>
    </row>
    <row r="49" customFormat="false" ht="15" hidden="false" customHeight="false" outlineLevel="0" collapsed="false">
      <c r="A49" s="14" t="s">
        <v>24</v>
      </c>
      <c r="B49" s="14" t="s">
        <v>25</v>
      </c>
      <c r="C49" s="15" t="n">
        <f aca="false">Criteria_Weights!C8</f>
        <v>14</v>
      </c>
      <c r="D49" s="15" t="n">
        <f aca="false">C49</f>
        <v>14</v>
      </c>
    </row>
    <row r="50" customFormat="false" ht="15" hidden="false" customHeight="false" outlineLevel="0" collapsed="false">
      <c r="A50" s="18" t="s">
        <v>27</v>
      </c>
      <c r="B50" s="18" t="s">
        <v>28</v>
      </c>
      <c r="C50" s="19" t="n">
        <f aca="false">Criteria_Weights!C9</f>
        <v>6</v>
      </c>
      <c r="D50" s="19" t="n">
        <f aca="false">C50</f>
        <v>6</v>
      </c>
    </row>
    <row r="51" customFormat="false" ht="15" hidden="false" customHeight="false" outlineLevel="0" collapsed="false">
      <c r="A51" s="14" t="s">
        <v>30</v>
      </c>
      <c r="B51" s="14" t="s">
        <v>31</v>
      </c>
      <c r="C51" s="15" t="n">
        <f aca="false">Criteria_Weights!C10</f>
        <v>4</v>
      </c>
      <c r="D51" s="15" t="n">
        <f aca="false">C51</f>
        <v>4</v>
      </c>
    </row>
    <row r="52" customFormat="false" ht="15" hidden="false" customHeight="false" outlineLevel="0" collapsed="false">
      <c r="A52" s="18" t="s">
        <v>33</v>
      </c>
      <c r="B52" s="18" t="s">
        <v>34</v>
      </c>
      <c r="C52" s="19" t="n">
        <f aca="false">Criteria_Weights!C11</f>
        <v>8</v>
      </c>
      <c r="D52" s="19" t="n">
        <f aca="false">C52</f>
        <v>8</v>
      </c>
    </row>
    <row r="53" customFormat="false" ht="15" hidden="false" customHeight="false" outlineLevel="0" collapsed="false">
      <c r="A53" s="14" t="s">
        <v>36</v>
      </c>
      <c r="B53" s="14" t="s">
        <v>37</v>
      </c>
      <c r="C53" s="15" t="n">
        <f aca="false">Criteria_Weights!C12</f>
        <v>14</v>
      </c>
      <c r="D53" s="38" t="n">
        <f aca="false">C53-5</f>
        <v>9</v>
      </c>
    </row>
    <row r="54" customFormat="false" ht="15" hidden="false" customHeight="false" outlineLevel="0" collapsed="false">
      <c r="A54" s="18" t="s">
        <v>39</v>
      </c>
      <c r="B54" s="18" t="s">
        <v>40</v>
      </c>
      <c r="C54" s="19" t="n">
        <f aca="false">Criteria_Weights!C13</f>
        <v>12</v>
      </c>
      <c r="D54" s="19" t="n">
        <f aca="false">C54</f>
        <v>12</v>
      </c>
    </row>
    <row r="55" customFormat="false" ht="15" hidden="false" customHeight="false" outlineLevel="0" collapsed="false">
      <c r="A55" s="14" t="s">
        <v>42</v>
      </c>
      <c r="B55" s="14" t="s">
        <v>43</v>
      </c>
      <c r="C55" s="15" t="n">
        <f aca="false">Criteria_Weights!C14</f>
        <v>8</v>
      </c>
      <c r="D55" s="15" t="n">
        <f aca="false">C55</f>
        <v>8</v>
      </c>
    </row>
    <row r="56" customFormat="false" ht="15" hidden="false" customHeight="false" outlineLevel="0" collapsed="false">
      <c r="A56" s="11"/>
      <c r="B56" s="12" t="s">
        <v>77</v>
      </c>
      <c r="C56" s="11"/>
      <c r="D56" s="35" t="n">
        <f aca="false">SUM(D45:D55)</f>
        <v>100</v>
      </c>
    </row>
    <row r="58" customFormat="false" ht="15" hidden="false" customHeight="false" outlineLevel="0" collapsed="false">
      <c r="A58" s="2" t="s">
        <v>78</v>
      </c>
    </row>
    <row r="59" customFormat="false" ht="23.85" hidden="false" customHeight="false" outlineLevel="0" collapsed="false">
      <c r="A59" s="33" t="s">
        <v>47</v>
      </c>
      <c r="B59" s="33" t="s">
        <v>48</v>
      </c>
      <c r="C59" s="33" t="s">
        <v>49</v>
      </c>
      <c r="D59" s="33" t="s">
        <v>50</v>
      </c>
      <c r="E59" s="33" t="s">
        <v>51</v>
      </c>
      <c r="F59" s="33" t="s">
        <v>52</v>
      </c>
      <c r="G59" s="33" t="s">
        <v>53</v>
      </c>
    </row>
    <row r="60" customFormat="false" ht="15" hidden="false" customHeight="false" outlineLevel="0" collapsed="false">
      <c r="A60" s="36" t="n">
        <f aca="false">SUMPRODUCT($D$45:$D$55/100,Decision_Matrix!D4:D14)</f>
        <v>3.13</v>
      </c>
      <c r="B60" s="36" t="n">
        <f aca="false">SUMPRODUCT($D$45:$D$55/100,Decision_Matrix!E4:E14)</f>
        <v>3.54</v>
      </c>
      <c r="C60" s="36" t="n">
        <f aca="false">SUMPRODUCT($D$45:$D$55/100,Decision_Matrix!F4:F14)</f>
        <v>2.65</v>
      </c>
      <c r="D60" s="36" t="n">
        <f aca="false">SUMPRODUCT($D$45:$D$55/100,Decision_Matrix!G4:G14)</f>
        <v>3.67</v>
      </c>
      <c r="E60" s="36" t="n">
        <f aca="false">SUMPRODUCT($D$45:$D$55/100,Decision_Matrix!H4:H14)</f>
        <v>3.93</v>
      </c>
      <c r="F60" s="36" t="n">
        <f aca="false">SUMPRODUCT($D$45:$D$55/100,Decision_Matrix!I4:I14)</f>
        <v>3.34</v>
      </c>
      <c r="G60" s="36" t="n">
        <f aca="false">SUMPRODUCT($D$45:$D$55/100,Decision_Matrix!J4:J14)</f>
        <v>2.9</v>
      </c>
    </row>
    <row r="61" customFormat="false" ht="15" hidden="false" customHeight="false" outlineLevel="0" collapsed="false">
      <c r="A61" s="2" t="s">
        <v>79</v>
      </c>
      <c r="B61" s="37" t="str">
        <f aca="false">INDEX(A59:G59,MATCH(MAX(A60:G60),A60:G60,0))</f>
        <v>V-Model</v>
      </c>
    </row>
    <row r="63" customFormat="false" ht="15" hidden="false" customHeight="false" outlineLevel="0" collapsed="false">
      <c r="A63" s="39" t="s">
        <v>82</v>
      </c>
    </row>
    <row r="64" customFormat="false" ht="15" hidden="false" customHeight="false" outlineLevel="0" collapsed="false">
      <c r="A64" s="33" t="s">
        <v>83</v>
      </c>
      <c r="B64" s="33" t="s">
        <v>84</v>
      </c>
      <c r="C64" s="33" t="s">
        <v>85</v>
      </c>
      <c r="D64" s="33" t="s">
        <v>86</v>
      </c>
    </row>
    <row r="65" customFormat="false" ht="15" hidden="false" customHeight="false" outlineLevel="0" collapsed="false">
      <c r="A65" s="14" t="s">
        <v>87</v>
      </c>
      <c r="B65" s="14" t="s">
        <v>51</v>
      </c>
      <c r="C65" s="15" t="str">
        <f aca="false">Sensitivity_Analysis!B21</f>
        <v>V-Model</v>
      </c>
      <c r="D65" s="15" t="str">
        <f aca="false">IF(C65="V-Model","No","Yes")</f>
        <v>No</v>
      </c>
    </row>
    <row r="66" customFormat="false" ht="15" hidden="false" customHeight="false" outlineLevel="0" collapsed="false">
      <c r="A66" s="14" t="s">
        <v>88</v>
      </c>
      <c r="B66" s="14" t="s">
        <v>51</v>
      </c>
      <c r="C66" s="15" t="str">
        <f aca="false">Sensitivity_Analysis!B41</f>
        <v>V-Model</v>
      </c>
      <c r="D66" s="15" t="str">
        <f aca="false">IF(C66="V-Model","No","Yes")</f>
        <v>No</v>
      </c>
    </row>
    <row r="67" customFormat="false" ht="15" hidden="false" customHeight="false" outlineLevel="0" collapsed="false">
      <c r="A67" s="14" t="s">
        <v>89</v>
      </c>
      <c r="B67" s="14" t="s">
        <v>51</v>
      </c>
      <c r="C67" s="15" t="str">
        <f aca="false">Sensitivity_Analysis!B61</f>
        <v>V-Model</v>
      </c>
      <c r="D67" s="15" t="str">
        <f aca="false">IF(C67="V-Model","No","Yes")</f>
        <v>No</v>
      </c>
    </row>
  </sheetData>
  <mergeCells count="4">
    <mergeCell ref="A1:F1"/>
    <mergeCell ref="A3:F3"/>
    <mergeCell ref="A23:F23"/>
    <mergeCell ref="A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2026-09-02T05:53:16Z</dcterms:created>
  <dc:creator>openpyxl</dc:creator>
  <dc:description/>
  <dc:language>en-US</dc:language>
  <cp:lastModifiedBy/>
  <dcterms:modified xsi:type="dcterms:W3CDTF">2026-09-02T05:53:16Z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